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Devka\Downloads\"/>
    </mc:Choice>
  </mc:AlternateContent>
  <xr:revisionPtr revIDLastSave="0" documentId="8_{5997AAA7-719B-4912-B8E4-1D3BE981C31B}" xr6:coauthVersionLast="47" xr6:coauthVersionMax="47" xr10:uidLastSave="{00000000-0000-0000-0000-000000000000}"/>
  <bookViews>
    <workbookView xWindow="-110" yWindow="-110" windowWidth="19420" windowHeight="10300" xr2:uid="{CBC133A3-029D-4773-83E1-5C7537736F65}"/>
  </bookViews>
  <sheets>
    <sheet name="Investor Risk Profil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 l="1"/>
  <c r="B18" i="1"/>
  <c r="E15" i="1"/>
  <c r="D15" i="1"/>
  <c r="C15" i="1"/>
  <c r="B15" i="1"/>
  <c r="E14" i="1"/>
  <c r="D14" i="1"/>
  <c r="C14" i="1"/>
  <c r="B14" i="1"/>
  <c r="E13" i="1"/>
  <c r="D13" i="1"/>
  <c r="C13" i="1"/>
  <c r="B13" i="1"/>
  <c r="E12" i="1"/>
  <c r="D12" i="1"/>
  <c r="C12" i="1"/>
  <c r="B12" i="1"/>
  <c r="E11" i="1"/>
  <c r="D11" i="1"/>
  <c r="C11" i="1"/>
  <c r="C17" i="1" s="1"/>
  <c r="B11" i="1"/>
  <c r="B17" i="1" s="1"/>
  <c r="E17" i="1" l="1"/>
  <c r="E18" i="1" s="1"/>
  <c r="D17" i="1"/>
  <c r="D18" i="1" s="1"/>
</calcChain>
</file>

<file path=xl/sharedStrings.xml><?xml version="1.0" encoding="utf-8"?>
<sst xmlns="http://schemas.openxmlformats.org/spreadsheetml/2006/main" count="24" uniqueCount="24">
  <si>
    <t>Risk Attribute</t>
  </si>
  <si>
    <t>Persona 1</t>
  </si>
  <si>
    <t>Persona 2</t>
  </si>
  <si>
    <t>Persona 3</t>
  </si>
  <si>
    <t>Persona 4</t>
  </si>
  <si>
    <t>Credit Score</t>
  </si>
  <si>
    <t>Annual Income</t>
  </si>
  <si>
    <t>Debt</t>
  </si>
  <si>
    <t>Savings</t>
  </si>
  <si>
    <t>Late Payments</t>
  </si>
  <si>
    <t>Credit Score (N)</t>
  </si>
  <si>
    <t>Annual Income (N)</t>
  </si>
  <si>
    <t>Debt (N)</t>
  </si>
  <si>
    <t>Savings (N)</t>
  </si>
  <si>
    <t>Late Payments (N)</t>
  </si>
  <si>
    <t>Weighted Score</t>
  </si>
  <si>
    <t>Risk Category</t>
  </si>
  <si>
    <t>Weights</t>
  </si>
  <si>
    <t>A seasoned entrepreneur is looking to diversify their investment portfolio. They're interested in sustainable and ethical investment opportunities and want advice on balancing their portfolio for long-term growth. Their recent venture success has boosted their savings, and they're seeking Goldman Sachs' expertise to manage their increased wealth.</t>
  </si>
  <si>
    <t>A mid-career professional is planning for a major life transition. They're considering buying a new home and need advice on mortgage options and managing existing debts. They're also looking into setting up a college fund for their children and are seeking Goldman Sachs' services for financial planning and debt management.</t>
  </si>
  <si>
    <t>A high-earning IT consultant has faced some financial hiccups and is looking to consolidate their debts. They're also interested in exploring investment strategies to grow their savings and recover from recent financial missteps. They're approaching Goldman Sachs for their expertise in debt consolidation and for guidance on making smarter investment choices.</t>
  </si>
  <si>
    <t>A small business owner with a fluctuating income due to the seasonal nature of their business. They have significant debt from a recent expansion but have maintained a good credit score. They are looking for advice on managing cash flow, reducing debt, and planning for future business investments.</t>
  </si>
  <si>
    <t>Profile</t>
  </si>
  <si>
    <t xml:space="preserve">Investor Risk Profiling and Assessment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</si>
</sst>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Times New Roman"/>
      <family val="1"/>
    </font>
    <font>
      <sz val="11"/>
      <color theme="1"/>
      <name val="Times New Roman"/>
      <family val="1"/>
    </font>
    <font>
      <sz val="8"/>
      <color theme="1"/>
      <name val="Times New Roman"/>
      <family val="1"/>
    </font>
  </fonts>
  <fills count="10">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1" fillId="2" borderId="0" xfId="0" applyFont="1" applyFill="1" applyAlignment="1">
      <alignment horizontal="center"/>
    </xf>
    <xf numFmtId="0" fontId="2" fillId="3" borderId="1" xfId="0" applyFont="1" applyFill="1" applyBorder="1" applyAlignment="1">
      <alignment horizontal="left" vertical="top"/>
    </xf>
    <xf numFmtId="0" fontId="3" fillId="0" borderId="1" xfId="0" applyFont="1" applyBorder="1" applyAlignment="1">
      <alignment horizontal="center" vertical="top" wrapText="1"/>
    </xf>
    <xf numFmtId="0" fontId="2" fillId="4" borderId="1" xfId="0" applyFont="1" applyFill="1" applyBorder="1"/>
    <xf numFmtId="0" fontId="2" fillId="5" borderId="1" xfId="0" applyFont="1" applyFill="1" applyBorder="1"/>
    <xf numFmtId="0" fontId="0" fillId="0" borderId="1" xfId="0" applyBorder="1"/>
    <xf numFmtId="0" fontId="2" fillId="6" borderId="1" xfId="0" applyFont="1" applyFill="1" applyBorder="1"/>
    <xf numFmtId="0" fontId="2" fillId="7" borderId="1" xfId="0" applyFont="1" applyFill="1" applyBorder="1"/>
    <xf numFmtId="0" fontId="2" fillId="0" borderId="1" xfId="0" applyFont="1" applyBorder="1"/>
    <xf numFmtId="0" fontId="2" fillId="8" borderId="1" xfId="0" applyFont="1" applyFill="1" applyBorder="1"/>
    <xf numFmtId="0" fontId="2" fillId="9" borderId="1" xfId="0" applyFont="1" applyFill="1" applyBorder="1"/>
    <xf numFmtId="0" fontId="2" fillId="2" borderId="1" xfId="0" applyFont="1" applyFill="1" applyBorder="1"/>
  </cellXfs>
  <cellStyles count="1">
    <cellStyle name="Normal" xfId="0" builtinId="0"/>
  </cellStyles>
  <dxfs count="11">
    <dxf>
      <fill>
        <patternFill patternType="solid">
          <bgColor rgb="FFFF0000"/>
        </patternFill>
      </fill>
    </dxf>
    <dxf>
      <fill>
        <patternFill>
          <bgColor theme="7" tint="0.79998168889431442"/>
        </patternFill>
      </fill>
    </dxf>
    <dxf>
      <fill>
        <patternFill>
          <bgColor theme="7" tint="0.79998168889431442"/>
        </patternFill>
      </fill>
    </dxf>
    <dxf>
      <fill>
        <patternFill>
          <bgColor theme="9" tint="0.59996337778862885"/>
        </patternFill>
      </fill>
    </dxf>
    <dxf>
      <fill>
        <patternFill>
          <bgColor theme="9" tint="0.59996337778862885"/>
        </patternFill>
      </fill>
    </dxf>
    <dxf>
      <fill>
        <patternFill patternType="solid">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5E38B-9319-4CB7-BE71-819AAF3ADF58}">
  <dimension ref="A1:F18"/>
  <sheetViews>
    <sheetView tabSelected="1" zoomScale="74" workbookViewId="0">
      <selection activeCell="B6" sqref="B6"/>
    </sheetView>
  </sheetViews>
  <sheetFormatPr defaultRowHeight="14.5" x14ac:dyDescent="0.35"/>
  <cols>
    <col min="1" max="1" width="16.453125" bestFit="1" customWidth="1"/>
    <col min="2" max="2" width="41" customWidth="1"/>
    <col min="3" max="3" width="41.453125" customWidth="1"/>
    <col min="4" max="4" width="41.08984375" customWidth="1"/>
    <col min="5" max="5" width="40.54296875" customWidth="1"/>
  </cols>
  <sheetData>
    <row r="1" spans="1:6" ht="17.5" x14ac:dyDescent="0.35">
      <c r="A1" s="2" t="s">
        <v>23</v>
      </c>
      <c r="B1" s="2"/>
      <c r="C1" s="2"/>
      <c r="D1" s="2"/>
      <c r="E1" s="2"/>
      <c r="F1" s="1"/>
    </row>
    <row r="2" spans="1:6" ht="70.5" customHeight="1" x14ac:dyDescent="0.35">
      <c r="A2" s="3" t="s">
        <v>22</v>
      </c>
      <c r="B2" s="4" t="s">
        <v>18</v>
      </c>
      <c r="C2" s="4" t="s">
        <v>19</v>
      </c>
      <c r="D2" s="4" t="s">
        <v>20</v>
      </c>
      <c r="E2" s="4" t="s">
        <v>21</v>
      </c>
      <c r="F2" s="10"/>
    </row>
    <row r="3" spans="1:6" ht="14.5" hidden="1" customHeight="1" x14ac:dyDescent="0.35">
      <c r="A3" s="3"/>
      <c r="B3" s="4"/>
      <c r="C3" s="4"/>
      <c r="D3" s="4"/>
      <c r="E3" s="4"/>
      <c r="F3" s="10"/>
    </row>
    <row r="4" spans="1:6" x14ac:dyDescent="0.35">
      <c r="A4" s="5" t="s">
        <v>0</v>
      </c>
      <c r="B4" s="5" t="s">
        <v>1</v>
      </c>
      <c r="C4" s="5" t="s">
        <v>2</v>
      </c>
      <c r="D4" s="5" t="s">
        <v>3</v>
      </c>
      <c r="E4" s="5" t="s">
        <v>4</v>
      </c>
      <c r="F4" s="13" t="s">
        <v>17</v>
      </c>
    </row>
    <row r="5" spans="1:6" x14ac:dyDescent="0.35">
      <c r="A5" s="5" t="s">
        <v>5</v>
      </c>
      <c r="B5" s="6">
        <v>760</v>
      </c>
      <c r="C5" s="6">
        <v>700</v>
      </c>
      <c r="D5" s="6">
        <v>660</v>
      </c>
      <c r="E5" s="6">
        <v>720</v>
      </c>
      <c r="F5" s="13">
        <v>0.25</v>
      </c>
    </row>
    <row r="6" spans="1:6" x14ac:dyDescent="0.35">
      <c r="A6" s="5" t="s">
        <v>6</v>
      </c>
      <c r="B6" s="6">
        <v>280000</v>
      </c>
      <c r="C6" s="6">
        <v>180000</v>
      </c>
      <c r="D6" s="6">
        <v>100000</v>
      </c>
      <c r="E6" s="6">
        <v>150000</v>
      </c>
      <c r="F6" s="13">
        <v>0.2</v>
      </c>
    </row>
    <row r="7" spans="1:6" x14ac:dyDescent="0.35">
      <c r="A7" s="5" t="s">
        <v>7</v>
      </c>
      <c r="B7" s="6">
        <v>150000</v>
      </c>
      <c r="C7" s="6">
        <v>100000</v>
      </c>
      <c r="D7" s="6">
        <v>90000</v>
      </c>
      <c r="E7" s="6">
        <v>200000</v>
      </c>
      <c r="F7" s="13">
        <v>0.2</v>
      </c>
    </row>
    <row r="8" spans="1:6" x14ac:dyDescent="0.35">
      <c r="A8" s="5" t="s">
        <v>8</v>
      </c>
      <c r="B8" s="6">
        <v>450000</v>
      </c>
      <c r="C8" s="6">
        <v>120000</v>
      </c>
      <c r="D8" s="6">
        <v>20000</v>
      </c>
      <c r="E8" s="6">
        <v>80000</v>
      </c>
      <c r="F8" s="13">
        <v>0.25</v>
      </c>
    </row>
    <row r="9" spans="1:6" x14ac:dyDescent="0.35">
      <c r="A9" s="5" t="s">
        <v>9</v>
      </c>
      <c r="B9" s="6">
        <v>0</v>
      </c>
      <c r="C9" s="6">
        <v>1</v>
      </c>
      <c r="D9" s="6">
        <v>2</v>
      </c>
      <c r="E9" s="6">
        <v>1</v>
      </c>
      <c r="F9" s="13">
        <v>0.1</v>
      </c>
    </row>
    <row r="10" spans="1:6" x14ac:dyDescent="0.35">
      <c r="A10" s="7"/>
      <c r="B10" s="7"/>
      <c r="C10" s="7"/>
      <c r="D10" s="7"/>
      <c r="E10" s="7"/>
      <c r="F10" s="7"/>
    </row>
    <row r="11" spans="1:6" x14ac:dyDescent="0.35">
      <c r="A11" s="8" t="s">
        <v>10</v>
      </c>
      <c r="B11" s="9">
        <f>(B5-300)/(850-300)*100</f>
        <v>83.636363636363626</v>
      </c>
      <c r="C11" s="9">
        <f>(C5-300)/(850-300)*100</f>
        <v>72.727272727272734</v>
      </c>
      <c r="D11" s="9">
        <f>(D5-300)/(850-300)*100</f>
        <v>65.454545454545453</v>
      </c>
      <c r="E11" s="9">
        <f>(E5-300)/(850-300)*100</f>
        <v>76.363636363636374</v>
      </c>
      <c r="F11" s="7"/>
    </row>
    <row r="12" spans="1:6" x14ac:dyDescent="0.35">
      <c r="A12" s="8" t="s">
        <v>11</v>
      </c>
      <c r="B12" s="9">
        <f>MIN(B6/300000, 1)*100</f>
        <v>93.333333333333329</v>
      </c>
      <c r="C12" s="9">
        <f t="shared" ref="B12:E13" si="0">MIN(C6/300000, 1)*100</f>
        <v>60</v>
      </c>
      <c r="D12" s="9">
        <f t="shared" si="0"/>
        <v>33.333333333333329</v>
      </c>
      <c r="E12" s="9">
        <f t="shared" si="0"/>
        <v>50</v>
      </c>
      <c r="F12" s="7"/>
    </row>
    <row r="13" spans="1:6" x14ac:dyDescent="0.35">
      <c r="A13" s="8" t="s">
        <v>12</v>
      </c>
      <c r="B13" s="9">
        <f t="shared" si="0"/>
        <v>50</v>
      </c>
      <c r="C13" s="9">
        <f t="shared" si="0"/>
        <v>33.333333333333329</v>
      </c>
      <c r="D13" s="9">
        <f t="shared" si="0"/>
        <v>30</v>
      </c>
      <c r="E13" s="9">
        <f t="shared" si="0"/>
        <v>66.666666666666657</v>
      </c>
      <c r="F13" s="7"/>
    </row>
    <row r="14" spans="1:6" x14ac:dyDescent="0.35">
      <c r="A14" s="8" t="s">
        <v>13</v>
      </c>
      <c r="B14" s="9">
        <f>MIN(B8/500000, 1)*100</f>
        <v>90</v>
      </c>
      <c r="C14" s="9">
        <f>MIN(C8/500000, 1)*100</f>
        <v>24</v>
      </c>
      <c r="D14" s="9">
        <f>MIN(D8/500000, 1)*100</f>
        <v>4</v>
      </c>
      <c r="E14" s="9">
        <f>MIN(E8/500000, 1)*100</f>
        <v>16</v>
      </c>
      <c r="F14" s="7"/>
    </row>
    <row r="15" spans="1:6" x14ac:dyDescent="0.35">
      <c r="A15" s="8" t="s">
        <v>14</v>
      </c>
      <c r="B15" s="9">
        <f>MIN(B9/5, 1)*100</f>
        <v>0</v>
      </c>
      <c r="C15" s="9">
        <f>MIN(C9/5, 1)*100</f>
        <v>20</v>
      </c>
      <c r="D15" s="9">
        <f>MIN(D9/5, 1)*100</f>
        <v>40</v>
      </c>
      <c r="E15" s="9">
        <f>MIN(E9/5, 1)*100</f>
        <v>20</v>
      </c>
      <c r="F15" s="7"/>
    </row>
    <row r="16" spans="1:6" x14ac:dyDescent="0.35">
      <c r="A16" s="10"/>
      <c r="B16" s="10"/>
      <c r="C16" s="10"/>
      <c r="D16" s="10"/>
      <c r="E16" s="10"/>
      <c r="F16" s="7"/>
    </row>
    <row r="17" spans="1:6" x14ac:dyDescent="0.35">
      <c r="A17" s="8" t="s">
        <v>15</v>
      </c>
      <c r="B17" s="11">
        <f>B11*$F$5 + B12*$F$6 + B13*$F$7 + B14*$F$8 + B15*$F$9</f>
        <v>72.075757575757578</v>
      </c>
      <c r="C17" s="11">
        <f>C11*$F$5 + C12*$F$6 + C13*$F$7 + C14*$F$8 + C15*$F$9</f>
        <v>44.848484848484851</v>
      </c>
      <c r="D17" s="11">
        <f>D11*$F$5 + D12*$F$6 + D13*$F$7 + D14*$F$8 + D15*$F$9</f>
        <v>34.030303030303031</v>
      </c>
      <c r="E17" s="11">
        <f>E11*$F$5 + E12*$F$6 + E13*$F$7 + E14*$F$8 + E15*$F$9</f>
        <v>48.424242424242422</v>
      </c>
      <c r="F17" s="7"/>
    </row>
    <row r="18" spans="1:6" x14ac:dyDescent="0.35">
      <c r="A18" s="12" t="s">
        <v>16</v>
      </c>
      <c r="B18" s="10" t="str">
        <f>IF(B17&lt;=33,"High Risk",IF(B17&lt;=66,"Medium Risk","Low Risk"))</f>
        <v>Low Risk</v>
      </c>
      <c r="C18" s="10" t="str">
        <f>IF(C17&lt;=33,"High Risk",IF(C17&lt;=66,"Medium Risk","Low Risk"))</f>
        <v>Medium Risk</v>
      </c>
      <c r="D18" s="10" t="str">
        <f>IF(D17&lt;=33,"High Risk",IF(D17&lt;=66,"Medium Risk","Low Risk"))</f>
        <v>Medium Risk</v>
      </c>
      <c r="E18" s="10" t="str">
        <f>IF(E17&lt;=33,"High Risk",IF(E17&lt;=66,"Medium Risk","Low Risk"))</f>
        <v>Medium Risk</v>
      </c>
      <c r="F18" s="7"/>
    </row>
  </sheetData>
  <mergeCells count="6">
    <mergeCell ref="B2:B3"/>
    <mergeCell ref="C2:C3"/>
    <mergeCell ref="D2:D3"/>
    <mergeCell ref="E2:E3"/>
    <mergeCell ref="A2:A3"/>
    <mergeCell ref="A1:E1"/>
  </mergeCells>
  <conditionalFormatting sqref="A18:XFD18">
    <cfRule type="containsText" dxfId="6" priority="2" operator="containsText" text="Medium Risk">
      <formula>NOT(ISERROR(SEARCH("Medium Risk",A18)))</formula>
    </cfRule>
    <cfRule type="containsText" dxfId="5" priority="1" operator="containsText" text="High Risk ">
      <formula>NOT(ISERROR(SEARCH("High Risk ",A18)))</formula>
    </cfRule>
    <cfRule type="containsText" dxfId="4" priority="4" operator="containsText" text="Low Risk">
      <formula>NOT(ISERROR(SEARCH("Low Risk",A18)))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Investor Risk Profiling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Katyal</dc:creator>
  <cp:lastModifiedBy>Dev Katyal</cp:lastModifiedBy>
  <dcterms:created xsi:type="dcterms:W3CDTF">2026-10-11T12:43:26Z</dcterms:created>
  <dcterms:modified xsi:type="dcterms:W3CDTF">2026-10-11T12:56:00Z</dcterms:modified>
</cp:coreProperties>
</file>